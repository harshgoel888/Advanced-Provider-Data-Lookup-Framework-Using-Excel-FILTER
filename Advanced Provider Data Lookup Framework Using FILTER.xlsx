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ush-my.sharepoint.com/personal/harsh_goel_rush_edu/Documents/Desktop/NIW/Templates/Filter Function/"/>
    </mc:Choice>
  </mc:AlternateContent>
  <xr:revisionPtr revIDLastSave="412" documentId="8_{50BFA650-0299-4F5E-BF8D-3560E99D0A93}" xr6:coauthVersionLast="47" xr6:coauthVersionMax="47" xr10:uidLastSave="{0248BF2C-9D19-4CF5-8618-7A248481A2BD}"/>
  <bookViews>
    <workbookView xWindow="28680" yWindow="-120" windowWidth="29040" windowHeight="15720" tabRatio="857" activeTab="5" xr2:uid="{00000000-000D-0000-FFFF-FFFF00000000}"/>
  </bookViews>
  <sheets>
    <sheet name="Faculty_Providers - source" sheetId="1" r:id="rId1"/>
    <sheet name="One-to-Many Provider Lookup" sheetId="10" r:id="rId2"/>
    <sheet name="One specialty to many providers" sheetId="11" r:id="rId3"/>
    <sheet name="Faculty_Providers - source v1" sheetId="12" r:id="rId4"/>
    <sheet name="Building highly dynamic models" sheetId="13" r:id="rId5"/>
    <sheet name="Limitations" sheetId="14" r:id="rId6"/>
  </sheets>
  <definedNames>
    <definedName name="_xlnm._FilterDatabase" localSheetId="0" hidden="1">'Faculty_Providers - source'!$A$1:$N$20</definedName>
    <definedName name="_xlnm._FilterDatabase" localSheetId="3" hidden="1">'Faculty_Providers - source v1'!$A$1:$N$20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4" l="1" a="1"/>
  <c r="B8" i="14" a="1"/>
  <c r="C7" i="14" a="1"/>
  <c r="B7" i="14" a="1"/>
  <c r="C7" i="13" a="1"/>
  <c r="B7" i="13" a="1"/>
  <c r="C5" i="11" a="1"/>
  <c r="B5" i="11" a="1"/>
  <c r="C9" i="10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<sst xmlns="http://schemas.openxmlformats.org/spreadsheetml/2006/main" count="134" uniqueCount="55">
  <si>
    <t>Provider_ID</t>
  </si>
  <si>
    <t>Specialty</t>
  </si>
  <si>
    <t>FTE</t>
  </si>
  <si>
    <t>Base_Salary</t>
  </si>
  <si>
    <t>Target_wRVUs</t>
  </si>
  <si>
    <t>Actual_wRVUs</t>
  </si>
  <si>
    <t>Individual_Productivity_Pct</t>
  </si>
  <si>
    <t>Group_Productivity_Pct</t>
  </si>
  <si>
    <t>Conversion_Factor</t>
  </si>
  <si>
    <t>Productivity_Incentive</t>
  </si>
  <si>
    <t>Quality_Incentive</t>
  </si>
  <si>
    <t>Leadership_Stipend</t>
  </si>
  <si>
    <t>TCC</t>
  </si>
  <si>
    <t>Comp_per_wRVU</t>
  </si>
  <si>
    <t>FAC0001</t>
  </si>
  <si>
    <t>Endocrinology</t>
  </si>
  <si>
    <t>FAC0002</t>
  </si>
  <si>
    <t>Internal Medicine</t>
  </si>
  <si>
    <t>FAC0003</t>
  </si>
  <si>
    <t>Orthopedics</t>
  </si>
  <si>
    <t>FAC0004</t>
  </si>
  <si>
    <t>Family Medicine</t>
  </si>
  <si>
    <t>FAC0005</t>
  </si>
  <si>
    <t>Hospital Medicine</t>
  </si>
  <si>
    <t>FAC0007</t>
  </si>
  <si>
    <t>FAC0008</t>
  </si>
  <si>
    <t>Gastroenterology</t>
  </si>
  <si>
    <t>FAC0009</t>
  </si>
  <si>
    <t>Neurology</t>
  </si>
  <si>
    <t>FAC0010</t>
  </si>
  <si>
    <t>FAC0011</t>
  </si>
  <si>
    <t>FAC0012</t>
  </si>
  <si>
    <t>General Surgery</t>
  </si>
  <si>
    <t>FAC0013</t>
  </si>
  <si>
    <t>FAC0014</t>
  </si>
  <si>
    <t>Cardiology</t>
  </si>
  <si>
    <t>FAC0015</t>
  </si>
  <si>
    <t>Pulmonology</t>
  </si>
  <si>
    <t>FAC0017</t>
  </si>
  <si>
    <t>FAC0018</t>
  </si>
  <si>
    <t>FAC0019</t>
  </si>
  <si>
    <t>XYZ</t>
  </si>
  <si>
    <t>Provider ID</t>
  </si>
  <si>
    <t>Traditional lookup functions (VLOOKUP, XLOOKUP, and INDEX/MATCH) return only the first matching record. In healthcare datasets, a single provider may practice under multiple specialties, making traditional lookup methods insufficient.</t>
  </si>
  <si>
    <t>The FILTER function returns all matching records, preserving the original order of the source data and enabling complete provider retrieval.</t>
  </si>
  <si>
    <t>Not only does it capture the full data, it captures it in the order so no chances of mismatch.</t>
  </si>
  <si>
    <t>Retrieve Every Specialty Associated with a Provider</t>
  </si>
  <si>
    <t>Retrieve every provider assigned to a selected specialty together with the corresponding FTE</t>
  </si>
  <si>
    <t>Changing the specialty selection in cell A7 automatically updates the Provider ID and FTE results without modifying any formulas.</t>
  </si>
  <si>
    <t>Add a new provider to the source dataset and observe automatic output expansion</t>
  </si>
  <si>
    <t>This example demonstrates how FILTER-based models respond to additions in the underlying source dataset.</t>
  </si>
  <si>
    <t>When a new provider record is added to the source table, the output automatically expands to include the updated information without modifying the lookup logic.</t>
  </si>
  <si>
    <t>FILTER returns dynamic arrays that require available spill space.</t>
  </si>
  <si>
    <t>When multiple FILTER formulas produce overlapping results, Excel generates a #SPILL! error because the output range is restricted.</t>
  </si>
  <si>
    <t>Working with Multiple FILTER 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</si>
</sst>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11.42578125" bestFit="1" customWidth="1"/>
    <col min="2" max="2" width="17.28515625" bestFit="1" customWidth="1"/>
    <col min="3" max="3" width="4" bestFit="1" customWidth="1"/>
    <col min="4" max="4" width="11.42578125" bestFit="1" customWidth="1"/>
    <col min="5" max="5" width="11.42578125" customWidth="1"/>
    <col min="6" max="6" width="14" bestFit="1" customWidth="1"/>
    <col min="7" max="7" width="25.85546875" bestFit="1" customWidth="1"/>
    <col min="8" max="8" width="22.42578125" bestFit="1" customWidth="1"/>
    <col min="9" max="9" width="17.7109375" bestFit="1" customWidth="1"/>
    <col min="10" max="10" width="21.42578125" bestFit="1" customWidth="1"/>
    <col min="11" max="11" width="16.85546875" bestFit="1" customWidth="1"/>
    <col min="12" max="12" width="18.85546875" bestFit="1" customWidth="1"/>
    <col min="13" max="13" width="7" bestFit="1" customWidth="1"/>
    <col min="14" max="14" width="16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0.9</v>
      </c>
      <c r="D2">
        <v>399424</v>
      </c>
      <c r="E2">
        <v>4971</v>
      </c>
      <c r="F2">
        <v>4974</v>
      </c>
      <c r="G2">
        <v>99.9</v>
      </c>
      <c r="H2">
        <v>96.8</v>
      </c>
      <c r="I2">
        <v>76</v>
      </c>
      <c r="J2">
        <v>0</v>
      </c>
      <c r="K2">
        <v>2091</v>
      </c>
      <c r="L2">
        <v>0</v>
      </c>
      <c r="M2">
        <v>401515</v>
      </c>
      <c r="N2">
        <v>80.77</v>
      </c>
    </row>
    <row r="3" spans="1:14" x14ac:dyDescent="0.25">
      <c r="A3" t="s">
        <v>16</v>
      </c>
      <c r="B3" t="s">
        <v>17</v>
      </c>
      <c r="C3">
        <v>1</v>
      </c>
      <c r="D3">
        <v>278737</v>
      </c>
      <c r="E3">
        <v>5855</v>
      </c>
      <c r="F3">
        <v>7822</v>
      </c>
      <c r="G3">
        <v>74.900000000000006</v>
      </c>
      <c r="H3">
        <v>99.9</v>
      </c>
      <c r="I3">
        <v>42</v>
      </c>
      <c r="J3">
        <v>0</v>
      </c>
      <c r="K3">
        <v>5669</v>
      </c>
      <c r="L3">
        <v>30000</v>
      </c>
      <c r="M3">
        <v>314406</v>
      </c>
      <c r="N3">
        <v>53.7</v>
      </c>
    </row>
    <row r="4" spans="1:14" x14ac:dyDescent="0.25">
      <c r="A4" t="s">
        <v>18</v>
      </c>
      <c r="B4" t="s">
        <v>19</v>
      </c>
      <c r="C4">
        <v>0.8</v>
      </c>
      <c r="D4">
        <v>339627</v>
      </c>
      <c r="E4">
        <v>4461</v>
      </c>
      <c r="F4">
        <v>4200</v>
      </c>
      <c r="G4">
        <v>106.2</v>
      </c>
      <c r="H4">
        <v>118.7</v>
      </c>
      <c r="I4">
        <v>57</v>
      </c>
      <c r="J4">
        <v>14877</v>
      </c>
      <c r="K4">
        <v>18320</v>
      </c>
      <c r="L4">
        <v>20000</v>
      </c>
      <c r="M4">
        <v>392824</v>
      </c>
      <c r="N4">
        <v>88.06</v>
      </c>
    </row>
    <row r="5" spans="1:14" x14ac:dyDescent="0.25">
      <c r="A5" t="s">
        <v>20</v>
      </c>
      <c r="B5" t="s">
        <v>21</v>
      </c>
      <c r="C5">
        <v>0.9</v>
      </c>
      <c r="D5">
        <v>594476</v>
      </c>
      <c r="E5">
        <v>8693</v>
      </c>
      <c r="F5">
        <v>7705</v>
      </c>
      <c r="G5">
        <v>112.8</v>
      </c>
      <c r="H5">
        <v>112.2</v>
      </c>
      <c r="I5">
        <v>79</v>
      </c>
      <c r="J5">
        <v>78052</v>
      </c>
      <c r="K5">
        <v>3320</v>
      </c>
      <c r="L5">
        <v>10000</v>
      </c>
      <c r="M5">
        <v>685848</v>
      </c>
      <c r="N5">
        <v>78.900000000000006</v>
      </c>
    </row>
    <row r="6" spans="1:14" x14ac:dyDescent="0.25">
      <c r="A6" t="s">
        <v>22</v>
      </c>
      <c r="B6" t="s">
        <v>23</v>
      </c>
      <c r="C6">
        <v>0.8</v>
      </c>
      <c r="D6">
        <v>373855</v>
      </c>
      <c r="E6">
        <v>6462</v>
      </c>
      <c r="F6">
        <v>7262</v>
      </c>
      <c r="G6">
        <v>89</v>
      </c>
      <c r="H6">
        <v>103.1</v>
      </c>
      <c r="I6">
        <v>55</v>
      </c>
      <c r="J6">
        <v>0</v>
      </c>
      <c r="K6">
        <v>15643</v>
      </c>
      <c r="L6">
        <v>30000</v>
      </c>
      <c r="M6">
        <v>419498</v>
      </c>
      <c r="N6">
        <v>64.92</v>
      </c>
    </row>
    <row r="7" spans="1:14" x14ac:dyDescent="0.25">
      <c r="A7" t="s">
        <v>14</v>
      </c>
      <c r="B7" t="s">
        <v>17</v>
      </c>
      <c r="C7">
        <v>0.8</v>
      </c>
      <c r="D7">
        <v>533779</v>
      </c>
      <c r="E7">
        <v>7645</v>
      </c>
      <c r="F7">
        <v>8384</v>
      </c>
      <c r="G7">
        <v>91.2</v>
      </c>
      <c r="H7">
        <v>120.8</v>
      </c>
      <c r="I7">
        <v>90</v>
      </c>
      <c r="J7">
        <v>0</v>
      </c>
      <c r="K7">
        <v>20686</v>
      </c>
      <c r="L7">
        <v>20000</v>
      </c>
      <c r="M7">
        <v>574465</v>
      </c>
      <c r="N7">
        <v>75.14</v>
      </c>
    </row>
    <row r="8" spans="1:14" x14ac:dyDescent="0.25">
      <c r="A8" t="s">
        <v>24</v>
      </c>
      <c r="B8" t="s">
        <v>19</v>
      </c>
      <c r="C8">
        <v>0.9</v>
      </c>
      <c r="D8">
        <v>609085</v>
      </c>
      <c r="E8">
        <v>6008</v>
      </c>
      <c r="F8">
        <v>5835</v>
      </c>
      <c r="G8">
        <v>103</v>
      </c>
      <c r="H8">
        <v>116.6</v>
      </c>
      <c r="I8">
        <v>84</v>
      </c>
      <c r="J8">
        <v>14532</v>
      </c>
      <c r="K8">
        <v>5622</v>
      </c>
      <c r="L8">
        <v>0</v>
      </c>
      <c r="M8">
        <v>629239</v>
      </c>
      <c r="N8">
        <v>104.73</v>
      </c>
    </row>
    <row r="9" spans="1:14" x14ac:dyDescent="0.25">
      <c r="A9" t="s">
        <v>25</v>
      </c>
      <c r="B9" t="s">
        <v>26</v>
      </c>
      <c r="C9">
        <v>0.9</v>
      </c>
      <c r="D9">
        <v>468767</v>
      </c>
      <c r="E9">
        <v>6306</v>
      </c>
      <c r="F9">
        <v>5436</v>
      </c>
      <c r="G9">
        <v>116</v>
      </c>
      <c r="H9">
        <v>104.5</v>
      </c>
      <c r="I9">
        <v>36</v>
      </c>
      <c r="J9">
        <v>31320</v>
      </c>
      <c r="K9">
        <v>2131</v>
      </c>
      <c r="L9">
        <v>30000</v>
      </c>
      <c r="M9">
        <v>532218</v>
      </c>
      <c r="N9">
        <v>84.4</v>
      </c>
    </row>
    <row r="10" spans="1:14" x14ac:dyDescent="0.25">
      <c r="A10" t="s">
        <v>27</v>
      </c>
      <c r="B10" t="s">
        <v>28</v>
      </c>
      <c r="C10">
        <v>0.8</v>
      </c>
      <c r="D10">
        <v>623433</v>
      </c>
      <c r="E10">
        <v>8713</v>
      </c>
      <c r="F10">
        <v>6627</v>
      </c>
      <c r="G10">
        <v>131.5</v>
      </c>
      <c r="H10">
        <v>116.3</v>
      </c>
      <c r="I10">
        <v>82</v>
      </c>
      <c r="J10">
        <v>171052</v>
      </c>
      <c r="K10">
        <v>20837</v>
      </c>
      <c r="L10">
        <v>20000</v>
      </c>
      <c r="M10">
        <v>835322</v>
      </c>
      <c r="N10">
        <v>95.87</v>
      </c>
    </row>
    <row r="11" spans="1:14" x14ac:dyDescent="0.25">
      <c r="A11" t="s">
        <v>29</v>
      </c>
      <c r="B11" t="s">
        <v>28</v>
      </c>
      <c r="C11">
        <v>0.9</v>
      </c>
      <c r="D11">
        <v>405526</v>
      </c>
      <c r="E11">
        <v>5907</v>
      </c>
      <c r="F11">
        <v>5659</v>
      </c>
      <c r="G11">
        <v>104.4</v>
      </c>
      <c r="H11">
        <v>86.9</v>
      </c>
      <c r="I11">
        <v>81</v>
      </c>
      <c r="J11">
        <v>20088</v>
      </c>
      <c r="K11">
        <v>729</v>
      </c>
      <c r="L11">
        <v>20000</v>
      </c>
      <c r="M11">
        <v>446343</v>
      </c>
      <c r="N11">
        <v>75.56</v>
      </c>
    </row>
    <row r="12" spans="1:14" x14ac:dyDescent="0.25">
      <c r="A12" t="s">
        <v>30</v>
      </c>
      <c r="B12" t="s">
        <v>26</v>
      </c>
      <c r="C12">
        <v>0.8</v>
      </c>
      <c r="D12">
        <v>448775</v>
      </c>
      <c r="E12">
        <v>8865</v>
      </c>
      <c r="F12">
        <v>7514</v>
      </c>
      <c r="G12">
        <v>118</v>
      </c>
      <c r="H12">
        <v>115.4</v>
      </c>
      <c r="I12">
        <v>71</v>
      </c>
      <c r="J12">
        <v>95921</v>
      </c>
      <c r="K12">
        <v>19599</v>
      </c>
      <c r="L12">
        <v>0</v>
      </c>
      <c r="M12">
        <v>564295</v>
      </c>
      <c r="N12">
        <v>63.65</v>
      </c>
    </row>
    <row r="13" spans="1:14" x14ac:dyDescent="0.25">
      <c r="A13" t="s">
        <v>31</v>
      </c>
      <c r="B13" t="s">
        <v>32</v>
      </c>
      <c r="C13">
        <v>1</v>
      </c>
      <c r="D13">
        <v>397620</v>
      </c>
      <c r="E13">
        <v>11083</v>
      </c>
      <c r="F13">
        <v>8495</v>
      </c>
      <c r="G13">
        <v>130.5</v>
      </c>
      <c r="H13">
        <v>117.4</v>
      </c>
      <c r="I13">
        <v>66</v>
      </c>
      <c r="J13">
        <v>170808</v>
      </c>
      <c r="K13">
        <v>9978</v>
      </c>
      <c r="L13">
        <v>0</v>
      </c>
      <c r="M13">
        <v>578406</v>
      </c>
      <c r="N13">
        <v>52.19</v>
      </c>
    </row>
    <row r="14" spans="1:14" x14ac:dyDescent="0.25">
      <c r="A14" t="s">
        <v>33</v>
      </c>
      <c r="B14" t="s">
        <v>17</v>
      </c>
      <c r="C14">
        <v>0.9</v>
      </c>
      <c r="D14">
        <v>625145</v>
      </c>
      <c r="E14">
        <v>4325</v>
      </c>
      <c r="F14">
        <v>5183</v>
      </c>
      <c r="G14">
        <v>83.4</v>
      </c>
      <c r="H14">
        <v>113.2</v>
      </c>
      <c r="I14">
        <v>63</v>
      </c>
      <c r="J14">
        <v>0</v>
      </c>
      <c r="K14">
        <v>222</v>
      </c>
      <c r="L14">
        <v>0</v>
      </c>
      <c r="M14">
        <v>625367</v>
      </c>
      <c r="N14">
        <v>144.59</v>
      </c>
    </row>
    <row r="15" spans="1:14" x14ac:dyDescent="0.25">
      <c r="A15" t="s">
        <v>34</v>
      </c>
      <c r="B15" t="s">
        <v>35</v>
      </c>
      <c r="C15">
        <v>0.8</v>
      </c>
      <c r="D15">
        <v>290840</v>
      </c>
      <c r="E15">
        <v>4102</v>
      </c>
      <c r="F15">
        <v>3500</v>
      </c>
      <c r="G15">
        <v>117.2</v>
      </c>
      <c r="H15">
        <v>109.6</v>
      </c>
      <c r="I15">
        <v>62</v>
      </c>
      <c r="J15">
        <v>37324</v>
      </c>
      <c r="K15">
        <v>86</v>
      </c>
      <c r="L15">
        <v>20000</v>
      </c>
      <c r="M15">
        <v>348250</v>
      </c>
      <c r="N15">
        <v>84.9</v>
      </c>
    </row>
    <row r="16" spans="1:14" x14ac:dyDescent="0.25">
      <c r="A16" t="s">
        <v>36</v>
      </c>
      <c r="B16" t="s">
        <v>37</v>
      </c>
      <c r="C16">
        <v>0.9</v>
      </c>
      <c r="D16">
        <v>380457</v>
      </c>
      <c r="E16">
        <v>3734</v>
      </c>
      <c r="F16">
        <v>3594</v>
      </c>
      <c r="G16">
        <v>103.9</v>
      </c>
      <c r="H16">
        <v>111.6</v>
      </c>
      <c r="I16">
        <v>49</v>
      </c>
      <c r="J16">
        <v>6860</v>
      </c>
      <c r="K16">
        <v>3001</v>
      </c>
      <c r="L16">
        <v>20000</v>
      </c>
      <c r="M16">
        <v>410318</v>
      </c>
      <c r="N16">
        <v>109.89</v>
      </c>
    </row>
    <row r="17" spans="1:14" x14ac:dyDescent="0.25">
      <c r="A17" t="s">
        <v>25</v>
      </c>
      <c r="B17" t="s">
        <v>17</v>
      </c>
      <c r="C17">
        <v>1</v>
      </c>
      <c r="D17">
        <v>490403</v>
      </c>
      <c r="E17">
        <v>5235</v>
      </c>
      <c r="F17">
        <v>5681</v>
      </c>
      <c r="G17">
        <v>92.1</v>
      </c>
      <c r="H17">
        <v>92.9</v>
      </c>
      <c r="I17">
        <v>39</v>
      </c>
      <c r="J17">
        <v>0</v>
      </c>
      <c r="K17">
        <v>5048</v>
      </c>
      <c r="L17">
        <v>30000</v>
      </c>
      <c r="M17">
        <v>525451</v>
      </c>
      <c r="N17">
        <v>100.37</v>
      </c>
    </row>
    <row r="18" spans="1:14" x14ac:dyDescent="0.25">
      <c r="A18" t="s">
        <v>38</v>
      </c>
      <c r="B18" t="s">
        <v>37</v>
      </c>
      <c r="C18">
        <v>0.8</v>
      </c>
      <c r="D18">
        <v>272409</v>
      </c>
      <c r="E18">
        <v>2500</v>
      </c>
      <c r="F18">
        <v>3544</v>
      </c>
      <c r="G18">
        <v>70.5</v>
      </c>
      <c r="H18">
        <v>112.2</v>
      </c>
      <c r="I18">
        <v>74</v>
      </c>
      <c r="J18">
        <v>0</v>
      </c>
      <c r="K18">
        <v>11455</v>
      </c>
      <c r="L18">
        <v>0</v>
      </c>
      <c r="M18">
        <v>283864</v>
      </c>
      <c r="N18">
        <v>113.55</v>
      </c>
    </row>
    <row r="19" spans="1:14" x14ac:dyDescent="0.25">
      <c r="A19" t="s">
        <v>39</v>
      </c>
      <c r="B19" t="s">
        <v>15</v>
      </c>
      <c r="C19">
        <v>0.9</v>
      </c>
      <c r="D19">
        <v>632396</v>
      </c>
      <c r="E19">
        <v>6328</v>
      </c>
      <c r="F19">
        <v>8549</v>
      </c>
      <c r="G19">
        <v>74</v>
      </c>
      <c r="H19">
        <v>89.1</v>
      </c>
      <c r="I19">
        <v>61</v>
      </c>
      <c r="J19">
        <v>0</v>
      </c>
      <c r="K19">
        <v>11901</v>
      </c>
      <c r="L19">
        <v>0</v>
      </c>
      <c r="M19">
        <v>644297</v>
      </c>
      <c r="N19">
        <v>101.82</v>
      </c>
    </row>
    <row r="20" spans="1:14" x14ac:dyDescent="0.25">
      <c r="A20" t="s">
        <v>40</v>
      </c>
      <c r="B20" t="s">
        <v>32</v>
      </c>
      <c r="C20">
        <v>0.9</v>
      </c>
      <c r="D20">
        <v>500735</v>
      </c>
      <c r="E20">
        <v>7033</v>
      </c>
      <c r="F20">
        <v>5727</v>
      </c>
      <c r="G20">
        <v>122.8</v>
      </c>
      <c r="H20">
        <v>123.7</v>
      </c>
      <c r="I20">
        <v>89</v>
      </c>
      <c r="J20">
        <v>116234</v>
      </c>
      <c r="K20">
        <v>15013</v>
      </c>
      <c r="L20">
        <v>0</v>
      </c>
      <c r="M20">
        <v>631982</v>
      </c>
      <c r="N20">
        <v>89.86</v>
      </c>
    </row>
  </sheetData>
  <autoFilter ref="A1:N2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6A31-369F-4259-9A53-302482C94E5D}">
  <dimension ref="A2:C12"/>
  <sheetViews>
    <sheetView showGridLines="0" workbookViewId="0">
      <selection activeCell="C9" sqref="C9"/>
    </sheetView>
  </sheetViews>
  <sheetFormatPr defaultRowHeight="15" x14ac:dyDescent="0.25"/>
  <cols>
    <col min="1" max="1" width="80.140625" bestFit="1" customWidth="1"/>
    <col min="2" max="2" width="10.85546875" bestFit="1" customWidth="1"/>
  </cols>
  <sheetData>
    <row r="2" spans="1:3" x14ac:dyDescent="0.25">
      <c r="A2" s="4" t="s">
        <v>46</v>
      </c>
    </row>
    <row r="4" spans="1:3" x14ac:dyDescent="0.25">
      <c r="A4" t="s">
        <v>43</v>
      </c>
    </row>
    <row r="6" spans="1:3" x14ac:dyDescent="0.25">
      <c r="A6" t="s">
        <v>44</v>
      </c>
    </row>
    <row r="8" spans="1:3" x14ac:dyDescent="0.25">
      <c r="B8" t="s">
        <v>42</v>
      </c>
      <c r="C8" t="s">
        <v>1</v>
      </c>
    </row>
    <row r="9" spans="1:3" x14ac:dyDescent="0.25">
      <c r="B9" t="s">
        <v>14</v>
      </c>
      <c r="C9" s="3" t="str" cm="1">
        <f t="array" ref="C9:C10">_xlfn._xlws.FILTER('Faculty_Providers - source'!B:B,'Faculty_Providers - source'!A:A=$B9)</f>
        <v>Endocrinology</v>
      </c>
    </row>
    <row r="10" spans="1:3" x14ac:dyDescent="0.25">
      <c r="C10" s="3" t="str">
        <v>Internal Medicine</v>
      </c>
    </row>
    <row r="12" spans="1:3" x14ac:dyDescent="0.25">
      <c r="A1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6575-F01B-4165-95FD-450723D5E3A2}">
  <dimension ref="A2:C10"/>
  <sheetViews>
    <sheetView showGridLines="0" workbookViewId="0">
      <selection activeCell="A9" sqref="A9:XFD9"/>
    </sheetView>
  </sheetViews>
  <sheetFormatPr defaultRowHeight="15" x14ac:dyDescent="0.25"/>
  <cols>
    <col min="1" max="1" width="24.42578125" customWidth="1"/>
    <col min="2" max="2" width="11.42578125" bestFit="1" customWidth="1"/>
  </cols>
  <sheetData>
    <row r="2" spans="1:3" x14ac:dyDescent="0.25">
      <c r="A2" s="4" t="s">
        <v>47</v>
      </c>
    </row>
    <row r="4" spans="1:3" x14ac:dyDescent="0.25">
      <c r="A4" s="4" t="s">
        <v>1</v>
      </c>
      <c r="B4" s="4" t="s">
        <v>0</v>
      </c>
      <c r="C4" s="4" t="s">
        <v>2</v>
      </c>
    </row>
    <row r="5" spans="1:3" x14ac:dyDescent="0.25">
      <c r="A5" t="s">
        <v>17</v>
      </c>
      <c r="B5" s="3" t="str" cm="1">
        <f t="array" ref="B5:B8">_xlfn._xlws.FILTER('Faculty_Providers - source'!A:A,'Faculty_Providers - source'!$B:$B=A5)</f>
        <v>FAC0002</v>
      </c>
      <c r="C5" s="3" cm="1">
        <f t="array" ref="C5:C8">_xlfn._xlws.FILTER('Faculty_Providers - source'!C:C,'Faculty_Providers - source'!$B:$B=A5)</f>
        <v>1</v>
      </c>
    </row>
    <row r="6" spans="1:3" x14ac:dyDescent="0.25">
      <c r="B6" s="3" t="str">
        <v>FAC0001</v>
      </c>
      <c r="C6" s="3">
        <v>0.8</v>
      </c>
    </row>
    <row r="7" spans="1:3" x14ac:dyDescent="0.25">
      <c r="B7" s="3" t="str">
        <v>FAC0013</v>
      </c>
      <c r="C7" s="3">
        <v>0.9</v>
      </c>
    </row>
    <row r="8" spans="1:3" x14ac:dyDescent="0.25">
      <c r="B8" s="3" t="str">
        <v>FAC0008</v>
      </c>
      <c r="C8" s="3">
        <v>1</v>
      </c>
    </row>
    <row r="10" spans="1:3" x14ac:dyDescent="0.25">
      <c r="A10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909A-3119-4413-AA20-F90EDE96221F}">
  <dimension ref="A1:N22"/>
  <sheetViews>
    <sheetView workbookViewId="0">
      <pane ySplit="1" topLeftCell="A2" activePane="bottomLeft" state="frozen"/>
      <selection pane="bottomLeft" activeCell="B22" sqref="B22"/>
    </sheetView>
  </sheetViews>
  <sheetFormatPr defaultRowHeight="15" x14ac:dyDescent="0.25"/>
  <cols>
    <col min="1" max="1" width="11.42578125" bestFit="1" customWidth="1"/>
    <col min="2" max="2" width="17.28515625" bestFit="1" customWidth="1"/>
    <col min="3" max="3" width="4" bestFit="1" customWidth="1"/>
    <col min="4" max="4" width="11.42578125" bestFit="1" customWidth="1"/>
    <col min="5" max="5" width="11.42578125" customWidth="1"/>
    <col min="6" max="6" width="14" bestFit="1" customWidth="1"/>
    <col min="7" max="7" width="25.85546875" bestFit="1" customWidth="1"/>
    <col min="8" max="8" width="22.42578125" bestFit="1" customWidth="1"/>
    <col min="9" max="9" width="17.7109375" bestFit="1" customWidth="1"/>
    <col min="10" max="10" width="21.42578125" bestFit="1" customWidth="1"/>
    <col min="11" max="11" width="16.85546875" bestFit="1" customWidth="1"/>
    <col min="12" max="12" width="18.85546875" bestFit="1" customWidth="1"/>
    <col min="13" max="13" width="7" bestFit="1" customWidth="1"/>
    <col min="14" max="14" width="16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0.9</v>
      </c>
      <c r="D2">
        <v>399424</v>
      </c>
      <c r="E2">
        <v>4971</v>
      </c>
      <c r="F2">
        <v>4974</v>
      </c>
      <c r="G2">
        <v>99.9</v>
      </c>
      <c r="H2">
        <v>96.8</v>
      </c>
      <c r="I2">
        <v>76</v>
      </c>
      <c r="J2">
        <v>0</v>
      </c>
      <c r="K2">
        <v>2091</v>
      </c>
      <c r="L2">
        <v>0</v>
      </c>
      <c r="M2">
        <v>401515</v>
      </c>
      <c r="N2">
        <v>80.77</v>
      </c>
    </row>
    <row r="3" spans="1:14" x14ac:dyDescent="0.25">
      <c r="A3" t="s">
        <v>16</v>
      </c>
      <c r="B3" t="s">
        <v>17</v>
      </c>
      <c r="C3">
        <v>1</v>
      </c>
      <c r="D3">
        <v>278737</v>
      </c>
      <c r="E3">
        <v>5855</v>
      </c>
      <c r="F3">
        <v>7822</v>
      </c>
      <c r="G3">
        <v>74.900000000000006</v>
      </c>
      <c r="H3">
        <v>99.9</v>
      </c>
      <c r="I3">
        <v>42</v>
      </c>
      <c r="J3">
        <v>0</v>
      </c>
      <c r="K3">
        <v>5669</v>
      </c>
      <c r="L3">
        <v>30000</v>
      </c>
      <c r="M3">
        <v>314406</v>
      </c>
      <c r="N3">
        <v>53.7</v>
      </c>
    </row>
    <row r="4" spans="1:14" x14ac:dyDescent="0.25">
      <c r="A4" t="s">
        <v>18</v>
      </c>
      <c r="B4" t="s">
        <v>19</v>
      </c>
      <c r="C4">
        <v>0.8</v>
      </c>
      <c r="D4">
        <v>339627</v>
      </c>
      <c r="E4">
        <v>4461</v>
      </c>
      <c r="F4">
        <v>4200</v>
      </c>
      <c r="G4">
        <v>106.2</v>
      </c>
      <c r="H4">
        <v>118.7</v>
      </c>
      <c r="I4">
        <v>57</v>
      </c>
      <c r="J4">
        <v>14877</v>
      </c>
      <c r="K4">
        <v>18320</v>
      </c>
      <c r="L4">
        <v>20000</v>
      </c>
      <c r="M4">
        <v>392824</v>
      </c>
      <c r="N4">
        <v>88.06</v>
      </c>
    </row>
    <row r="5" spans="1:14" x14ac:dyDescent="0.25">
      <c r="A5" t="s">
        <v>20</v>
      </c>
      <c r="B5" t="s">
        <v>21</v>
      </c>
      <c r="C5">
        <v>0.9</v>
      </c>
      <c r="D5">
        <v>594476</v>
      </c>
      <c r="E5">
        <v>8693</v>
      </c>
      <c r="F5">
        <v>7705</v>
      </c>
      <c r="G5">
        <v>112.8</v>
      </c>
      <c r="H5">
        <v>112.2</v>
      </c>
      <c r="I5">
        <v>79</v>
      </c>
      <c r="J5">
        <v>78052</v>
      </c>
      <c r="K5">
        <v>3320</v>
      </c>
      <c r="L5">
        <v>10000</v>
      </c>
      <c r="M5">
        <v>685848</v>
      </c>
      <c r="N5">
        <v>78.900000000000006</v>
      </c>
    </row>
    <row r="6" spans="1:14" x14ac:dyDescent="0.25">
      <c r="A6" t="s">
        <v>22</v>
      </c>
      <c r="B6" t="s">
        <v>23</v>
      </c>
      <c r="C6">
        <v>0.8</v>
      </c>
      <c r="D6">
        <v>373855</v>
      </c>
      <c r="E6">
        <v>6462</v>
      </c>
      <c r="F6">
        <v>7262</v>
      </c>
      <c r="G6">
        <v>89</v>
      </c>
      <c r="H6">
        <v>103.1</v>
      </c>
      <c r="I6">
        <v>55</v>
      </c>
      <c r="J6">
        <v>0</v>
      </c>
      <c r="K6">
        <v>15643</v>
      </c>
      <c r="L6">
        <v>30000</v>
      </c>
      <c r="M6">
        <v>419498</v>
      </c>
      <c r="N6">
        <v>64.92</v>
      </c>
    </row>
    <row r="7" spans="1:14" x14ac:dyDescent="0.25">
      <c r="A7" t="s">
        <v>14</v>
      </c>
      <c r="B7" t="s">
        <v>17</v>
      </c>
      <c r="C7">
        <v>0.8</v>
      </c>
      <c r="D7">
        <v>533779</v>
      </c>
      <c r="E7">
        <v>7645</v>
      </c>
      <c r="F7">
        <v>8384</v>
      </c>
      <c r="G7">
        <v>91.2</v>
      </c>
      <c r="H7">
        <v>120.8</v>
      </c>
      <c r="I7">
        <v>90</v>
      </c>
      <c r="J7">
        <v>0</v>
      </c>
      <c r="K7">
        <v>20686</v>
      </c>
      <c r="L7">
        <v>20000</v>
      </c>
      <c r="M7">
        <v>574465</v>
      </c>
      <c r="N7">
        <v>75.14</v>
      </c>
    </row>
    <row r="8" spans="1:14" x14ac:dyDescent="0.25">
      <c r="A8" t="s">
        <v>24</v>
      </c>
      <c r="B8" t="s">
        <v>19</v>
      </c>
      <c r="C8">
        <v>0.9</v>
      </c>
      <c r="D8">
        <v>609085</v>
      </c>
      <c r="E8">
        <v>6008</v>
      </c>
      <c r="F8">
        <v>5835</v>
      </c>
      <c r="G8">
        <v>103</v>
      </c>
      <c r="H8">
        <v>116.6</v>
      </c>
      <c r="I8">
        <v>84</v>
      </c>
      <c r="J8">
        <v>14532</v>
      </c>
      <c r="K8">
        <v>5622</v>
      </c>
      <c r="L8">
        <v>0</v>
      </c>
      <c r="M8">
        <v>629239</v>
      </c>
      <c r="N8">
        <v>104.73</v>
      </c>
    </row>
    <row r="9" spans="1:14" x14ac:dyDescent="0.25">
      <c r="A9" t="s">
        <v>25</v>
      </c>
      <c r="B9" t="s">
        <v>26</v>
      </c>
      <c r="C9">
        <v>0.9</v>
      </c>
      <c r="D9">
        <v>468767</v>
      </c>
      <c r="E9">
        <v>6306</v>
      </c>
      <c r="F9">
        <v>5436</v>
      </c>
      <c r="G9">
        <v>116</v>
      </c>
      <c r="H9">
        <v>104.5</v>
      </c>
      <c r="I9">
        <v>36</v>
      </c>
      <c r="J9">
        <v>31320</v>
      </c>
      <c r="K9">
        <v>2131</v>
      </c>
      <c r="L9">
        <v>30000</v>
      </c>
      <c r="M9">
        <v>532218</v>
      </c>
      <c r="N9">
        <v>84.4</v>
      </c>
    </row>
    <row r="10" spans="1:14" x14ac:dyDescent="0.25">
      <c r="A10" t="s">
        <v>27</v>
      </c>
      <c r="B10" t="s">
        <v>28</v>
      </c>
      <c r="C10">
        <v>0.8</v>
      </c>
      <c r="D10">
        <v>623433</v>
      </c>
      <c r="E10">
        <v>8713</v>
      </c>
      <c r="F10">
        <v>6627</v>
      </c>
      <c r="G10">
        <v>131.5</v>
      </c>
      <c r="H10">
        <v>116.3</v>
      </c>
      <c r="I10">
        <v>82</v>
      </c>
      <c r="J10">
        <v>171052</v>
      </c>
      <c r="K10">
        <v>20837</v>
      </c>
      <c r="L10">
        <v>20000</v>
      </c>
      <c r="M10">
        <v>835322</v>
      </c>
      <c r="N10">
        <v>95.87</v>
      </c>
    </row>
    <row r="11" spans="1:14" x14ac:dyDescent="0.25">
      <c r="A11" t="s">
        <v>29</v>
      </c>
      <c r="B11" t="s">
        <v>28</v>
      </c>
      <c r="C11">
        <v>0.9</v>
      </c>
      <c r="D11">
        <v>405526</v>
      </c>
      <c r="E11">
        <v>5907</v>
      </c>
      <c r="F11">
        <v>5659</v>
      </c>
      <c r="G11">
        <v>104.4</v>
      </c>
      <c r="H11">
        <v>86.9</v>
      </c>
      <c r="I11">
        <v>81</v>
      </c>
      <c r="J11">
        <v>20088</v>
      </c>
      <c r="K11">
        <v>729</v>
      </c>
      <c r="L11">
        <v>20000</v>
      </c>
      <c r="M11">
        <v>446343</v>
      </c>
      <c r="N11">
        <v>75.56</v>
      </c>
    </row>
    <row r="12" spans="1:14" x14ac:dyDescent="0.25">
      <c r="A12" t="s">
        <v>30</v>
      </c>
      <c r="B12" t="s">
        <v>26</v>
      </c>
      <c r="C12">
        <v>0.8</v>
      </c>
      <c r="D12">
        <v>448775</v>
      </c>
      <c r="E12">
        <v>8865</v>
      </c>
      <c r="F12">
        <v>7514</v>
      </c>
      <c r="G12">
        <v>118</v>
      </c>
      <c r="H12">
        <v>115.4</v>
      </c>
      <c r="I12">
        <v>71</v>
      </c>
      <c r="J12">
        <v>95921</v>
      </c>
      <c r="K12">
        <v>19599</v>
      </c>
      <c r="L12">
        <v>0</v>
      </c>
      <c r="M12">
        <v>564295</v>
      </c>
      <c r="N12">
        <v>63.65</v>
      </c>
    </row>
    <row r="13" spans="1:14" x14ac:dyDescent="0.25">
      <c r="A13" t="s">
        <v>31</v>
      </c>
      <c r="B13" t="s">
        <v>32</v>
      </c>
      <c r="C13">
        <v>1</v>
      </c>
      <c r="D13">
        <v>397620</v>
      </c>
      <c r="E13">
        <v>11083</v>
      </c>
      <c r="F13">
        <v>8495</v>
      </c>
      <c r="G13">
        <v>130.5</v>
      </c>
      <c r="H13">
        <v>117.4</v>
      </c>
      <c r="I13">
        <v>66</v>
      </c>
      <c r="J13">
        <v>170808</v>
      </c>
      <c r="K13">
        <v>9978</v>
      </c>
      <c r="L13">
        <v>0</v>
      </c>
      <c r="M13">
        <v>578406</v>
      </c>
      <c r="N13">
        <v>52.19</v>
      </c>
    </row>
    <row r="14" spans="1:14" x14ac:dyDescent="0.25">
      <c r="A14" t="s">
        <v>33</v>
      </c>
      <c r="B14" t="s">
        <v>17</v>
      </c>
      <c r="C14">
        <v>0.9</v>
      </c>
      <c r="D14">
        <v>625145</v>
      </c>
      <c r="E14">
        <v>4325</v>
      </c>
      <c r="F14">
        <v>5183</v>
      </c>
      <c r="G14">
        <v>83.4</v>
      </c>
      <c r="H14">
        <v>113.2</v>
      </c>
      <c r="I14">
        <v>63</v>
      </c>
      <c r="J14">
        <v>0</v>
      </c>
      <c r="K14">
        <v>222</v>
      </c>
      <c r="L14">
        <v>0</v>
      </c>
      <c r="M14">
        <v>625367</v>
      </c>
      <c r="N14">
        <v>144.59</v>
      </c>
    </row>
    <row r="15" spans="1:14" x14ac:dyDescent="0.25">
      <c r="A15" t="s">
        <v>34</v>
      </c>
      <c r="B15" t="s">
        <v>35</v>
      </c>
      <c r="C15">
        <v>0.8</v>
      </c>
      <c r="D15">
        <v>290840</v>
      </c>
      <c r="E15">
        <v>4102</v>
      </c>
      <c r="F15">
        <v>3500</v>
      </c>
      <c r="G15">
        <v>117.2</v>
      </c>
      <c r="H15">
        <v>109.6</v>
      </c>
      <c r="I15">
        <v>62</v>
      </c>
      <c r="J15">
        <v>37324</v>
      </c>
      <c r="K15">
        <v>86</v>
      </c>
      <c r="L15">
        <v>20000</v>
      </c>
      <c r="M15">
        <v>348250</v>
      </c>
      <c r="N15">
        <v>84.9</v>
      </c>
    </row>
    <row r="16" spans="1:14" x14ac:dyDescent="0.25">
      <c r="A16" t="s">
        <v>36</v>
      </c>
      <c r="B16" t="s">
        <v>37</v>
      </c>
      <c r="C16">
        <v>0.9</v>
      </c>
      <c r="D16">
        <v>380457</v>
      </c>
      <c r="E16">
        <v>3734</v>
      </c>
      <c r="F16">
        <v>3594</v>
      </c>
      <c r="G16">
        <v>103.9</v>
      </c>
      <c r="H16">
        <v>111.6</v>
      </c>
      <c r="I16">
        <v>49</v>
      </c>
      <c r="J16">
        <v>6860</v>
      </c>
      <c r="K16">
        <v>3001</v>
      </c>
      <c r="L16">
        <v>20000</v>
      </c>
      <c r="M16">
        <v>410318</v>
      </c>
      <c r="N16">
        <v>109.89</v>
      </c>
    </row>
    <row r="17" spans="1:14" x14ac:dyDescent="0.25">
      <c r="A17" t="s">
        <v>25</v>
      </c>
      <c r="B17" t="s">
        <v>17</v>
      </c>
      <c r="C17">
        <v>1</v>
      </c>
      <c r="D17">
        <v>490403</v>
      </c>
      <c r="E17">
        <v>5235</v>
      </c>
      <c r="F17">
        <v>5681</v>
      </c>
      <c r="G17">
        <v>92.1</v>
      </c>
      <c r="H17">
        <v>92.9</v>
      </c>
      <c r="I17">
        <v>39</v>
      </c>
      <c r="J17">
        <v>0</v>
      </c>
      <c r="K17">
        <v>5048</v>
      </c>
      <c r="L17">
        <v>30000</v>
      </c>
      <c r="M17">
        <v>525451</v>
      </c>
      <c r="N17">
        <v>100.37</v>
      </c>
    </row>
    <row r="18" spans="1:14" x14ac:dyDescent="0.25">
      <c r="A18" t="s">
        <v>38</v>
      </c>
      <c r="B18" t="s">
        <v>37</v>
      </c>
      <c r="C18">
        <v>0.8</v>
      </c>
      <c r="D18">
        <v>272409</v>
      </c>
      <c r="E18">
        <v>2500</v>
      </c>
      <c r="F18">
        <v>3544</v>
      </c>
      <c r="G18">
        <v>70.5</v>
      </c>
      <c r="H18">
        <v>112.2</v>
      </c>
      <c r="I18">
        <v>74</v>
      </c>
      <c r="J18">
        <v>0</v>
      </c>
      <c r="K18">
        <v>11455</v>
      </c>
      <c r="L18">
        <v>0</v>
      </c>
      <c r="M18">
        <v>283864</v>
      </c>
      <c r="N18">
        <v>113.55</v>
      </c>
    </row>
    <row r="19" spans="1:14" x14ac:dyDescent="0.25">
      <c r="A19" t="s">
        <v>39</v>
      </c>
      <c r="B19" t="s">
        <v>15</v>
      </c>
      <c r="C19">
        <v>0.9</v>
      </c>
      <c r="D19">
        <v>632396</v>
      </c>
      <c r="E19">
        <v>6328</v>
      </c>
      <c r="F19">
        <v>8549</v>
      </c>
      <c r="G19">
        <v>74</v>
      </c>
      <c r="H19">
        <v>89.1</v>
      </c>
      <c r="I19">
        <v>61</v>
      </c>
      <c r="J19">
        <v>0</v>
      </c>
      <c r="K19">
        <v>11901</v>
      </c>
      <c r="L19">
        <v>0</v>
      </c>
      <c r="M19">
        <v>644297</v>
      </c>
      <c r="N19">
        <v>101.82</v>
      </c>
    </row>
    <row r="20" spans="1:14" x14ac:dyDescent="0.25">
      <c r="A20" t="s">
        <v>40</v>
      </c>
      <c r="B20" t="s">
        <v>32</v>
      </c>
      <c r="C20">
        <v>0.9</v>
      </c>
      <c r="D20">
        <v>500735</v>
      </c>
      <c r="E20">
        <v>7033</v>
      </c>
      <c r="F20">
        <v>5727</v>
      </c>
      <c r="G20">
        <v>122.8</v>
      </c>
      <c r="H20">
        <v>123.7</v>
      </c>
      <c r="I20">
        <v>89</v>
      </c>
      <c r="J20">
        <v>116234</v>
      </c>
      <c r="K20">
        <v>15013</v>
      </c>
      <c r="L20">
        <v>0</v>
      </c>
      <c r="M20">
        <v>631982</v>
      </c>
      <c r="N20">
        <v>89.86</v>
      </c>
    </row>
    <row r="22" spans="1:14" x14ac:dyDescent="0.25">
      <c r="A22" s="2" t="s">
        <v>41</v>
      </c>
      <c r="B22" t="s">
        <v>28</v>
      </c>
      <c r="C22" s="2">
        <v>0.5</v>
      </c>
    </row>
  </sheetData>
  <autoFilter ref="A1:N20" xr:uid="{00000000-0001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6033-632E-4FFF-A414-EE0FF1DDC041}">
  <dimension ref="A2:D11"/>
  <sheetViews>
    <sheetView showGridLines="0" workbookViewId="0">
      <selection activeCell="A10" sqref="A10:XFD14"/>
    </sheetView>
  </sheetViews>
  <sheetFormatPr defaultRowHeight="15" x14ac:dyDescent="0.25"/>
  <cols>
    <col min="1" max="1" width="13" customWidth="1"/>
    <col min="2" max="2" width="11.42578125" bestFit="1" customWidth="1"/>
    <col min="3" max="4" width="4" bestFit="1" customWidth="1"/>
  </cols>
  <sheetData>
    <row r="2" spans="1:4" x14ac:dyDescent="0.25">
      <c r="A2" s="4" t="s">
        <v>49</v>
      </c>
    </row>
    <row r="4" spans="1:4" x14ac:dyDescent="0.25">
      <c r="A4" t="s">
        <v>50</v>
      </c>
    </row>
    <row r="6" spans="1:4" x14ac:dyDescent="0.25">
      <c r="A6" s="4" t="s">
        <v>1</v>
      </c>
      <c r="B6" s="4" t="s">
        <v>0</v>
      </c>
      <c r="C6" s="4" t="s">
        <v>2</v>
      </c>
      <c r="D6" s="4"/>
    </row>
    <row r="7" spans="1:4" x14ac:dyDescent="0.25">
      <c r="A7" t="s">
        <v>28</v>
      </c>
      <c r="B7" s="3" t="str" cm="1">
        <f t="array" ref="B7:B9">_xlfn._xlws.FILTER('Faculty_Providers - source v1'!$A:$A,'Faculty_Providers - source v1'!$B:$B=A7)</f>
        <v>FAC0009</v>
      </c>
      <c r="C7" s="3" cm="1">
        <f t="array" ref="C7:C9">_xlfn._xlws.FILTER('Faculty_Providers - source v1'!$C:$C,'Faculty_Providers - source v1'!$B:$B=A7)</f>
        <v>0.8</v>
      </c>
    </row>
    <row r="8" spans="1:4" x14ac:dyDescent="0.25">
      <c r="B8" s="3" t="str">
        <v>FAC0010</v>
      </c>
      <c r="C8" s="3">
        <v>0.9</v>
      </c>
    </row>
    <row r="9" spans="1:4" x14ac:dyDescent="0.25">
      <c r="B9" s="3" t="str">
        <v>XYZ</v>
      </c>
      <c r="C9" s="3">
        <v>0.5</v>
      </c>
    </row>
    <row r="11" spans="1:4" x14ac:dyDescent="0.25">
      <c r="A11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8715-CB80-417D-8ADD-3B341001E853}">
  <dimension ref="A2:C13"/>
  <sheetViews>
    <sheetView showGridLines="0" tabSelected="1" workbookViewId="0">
      <selection activeCell="A5" sqref="A5:XFD8"/>
    </sheetView>
  </sheetViews>
  <sheetFormatPr defaultRowHeight="15" x14ac:dyDescent="0.25"/>
  <cols>
    <col min="1" max="1" width="13.7109375" customWidth="1"/>
  </cols>
  <sheetData>
    <row r="2" spans="1:3" x14ac:dyDescent="0.25">
      <c r="A2" s="4" t="s">
        <v>54</v>
      </c>
    </row>
    <row r="4" spans="1:3" x14ac:dyDescent="0.25">
      <c r="A4" t="s">
        <v>52</v>
      </c>
    </row>
    <row r="6" spans="1:3" x14ac:dyDescent="0.25">
      <c r="A6" s="4" t="s">
        <v>1</v>
      </c>
      <c r="B6" s="4" t="s">
        <v>0</v>
      </c>
      <c r="C6" s="4" t="s">
        <v>2</v>
      </c>
    </row>
    <row r="7" spans="1:3" x14ac:dyDescent="0.25">
      <c r="A7" t="s">
        <v>28</v>
      </c>
      <c r="B7" s="3" t="e" cm="1" vm="1">
        <f t="array" aca="1" ref="B7" ca="1">_xlfn._xlws.FILTER('Faculty_Providers - source v1'!$A:$A,'Faculty_Providers - source v1'!$B:$B=A7)</f>
        <v>#VALUE!</v>
      </c>
      <c r="C7" s="3" t="e" cm="1" vm="1">
        <f t="array" aca="1" ref="C7" ca="1">_xlfn._xlws.FILTER('Faculty_Providers - source v1'!$C:$C,'Faculty_Providers - source v1'!$B:$B=A7)</f>
        <v>#VALUE!</v>
      </c>
    </row>
    <row r="8" spans="1:3" x14ac:dyDescent="0.25">
      <c r="A8" t="s">
        <v>17</v>
      </c>
      <c r="B8" s="3" t="str" cm="1">
        <f t="array" ref="B8:B11">_xlfn._xlws.FILTER('Faculty_Providers - source v1'!$A:$A,'Faculty_Providers - source v1'!$B:$B=A8)</f>
        <v>FAC0002</v>
      </c>
      <c r="C8" s="3" cm="1">
        <f t="array" ref="C8:C11">_xlfn._xlws.FILTER('Faculty_Providers - source v1'!$C:$C,'Faculty_Providers - source v1'!$B:$B=A8)</f>
        <v>1</v>
      </c>
    </row>
    <row r="9" spans="1:3" x14ac:dyDescent="0.25">
      <c r="B9" s="3" t="str">
        <v>FAC0001</v>
      </c>
      <c r="C9" s="3">
        <v>0.8</v>
      </c>
    </row>
    <row r="10" spans="1:3" x14ac:dyDescent="0.25">
      <c r="B10" t="str">
        <v>FAC0013</v>
      </c>
      <c r="C10">
        <v>0.9</v>
      </c>
    </row>
    <row r="11" spans="1:3" x14ac:dyDescent="0.25">
      <c r="B11" t="str">
        <v>FAC0008</v>
      </c>
      <c r="C11">
        <v>1</v>
      </c>
    </row>
    <row r="13" spans="1:3" x14ac:dyDescent="0.25">
      <c r="A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Faculty_Providers - source</vt:lpstr>
      <vt:lpstr>One-to-Many Provider Lookup</vt:lpstr>
      <vt:lpstr>One specialty to many providers</vt:lpstr>
      <vt:lpstr>Faculty_Providers - source v1</vt:lpstr>
      <vt:lpstr>Building highly dynamic models</vt:lpstr>
      <vt:lpstr>Limitations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Goel</cp:lastModifiedBy>
  <dcterms:created xsi:type="dcterms:W3CDTF">2026-06-11T01:36:02Z</dcterms:created>
  <dcterms:modified xsi:type="dcterms:W3CDTF">2026-07-09T01:15:54Z</dcterms:modified>
</cp:coreProperties>
</file>